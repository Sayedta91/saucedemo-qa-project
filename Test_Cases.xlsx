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QA\SauceDemo\"/>
    </mc:Choice>
  </mc:AlternateContent>
  <bookViews>
    <workbookView xWindow="0" yWindow="0" windowWidth="28800" windowHeight="12030"/>
  </bookViews>
  <sheets>
    <sheet name="Test Cases" sheetId="1" r:id="rId1"/>
    <sheet name="Bug Reports" sheetId="4" r:id="rId2"/>
  </sheets>
  <calcPr calcId="162913"/>
</workbook>
</file>

<file path=xl/calcChain.xml><?xml version="1.0" encoding="utf-8"?>
<calcChain xmlns="http://schemas.openxmlformats.org/spreadsheetml/2006/main">
  <c r="H7" i="1" l="1"/>
  <c r="H6" i="1"/>
  <c r="H5" i="1"/>
  <c r="H4" i="1"/>
</calcChain>
</file>

<file path=xl/sharedStrings.xml><?xml version="1.0" encoding="utf-8"?>
<sst xmlns="http://schemas.openxmlformats.org/spreadsheetml/2006/main" count="275" uniqueCount="174">
  <si>
    <t>SAUCEDEMO E-COMMERCE APPLICATION – TEST CASES</t>
  </si>
  <si>
    <t>Project Name:</t>
  </si>
  <si>
    <t>SauceDemo E-commerce Application</t>
  </si>
  <si>
    <t>Module:</t>
  </si>
  <si>
    <t>End to End Functionality</t>
  </si>
  <si>
    <t>Tester:</t>
  </si>
  <si>
    <t>Date:</t>
  </si>
  <si>
    <t>Version:</t>
  </si>
  <si>
    <t>Test Case ID</t>
  </si>
  <si>
    <t>Test Scenario</t>
  </si>
  <si>
    <t>Test Case Title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</si>
  <si>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</si>
  <si>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</si>
  <si>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</si>
  <si>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</si>
  <si>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</si>
  <si>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</si>
  <si>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</si>
  <si>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Comments</t>
  </si>
  <si>
    <t>1. LOGIN FUNCTIONALITY</t>
  </si>
  <si>
    <t>TC001</t>
  </si>
  <si>
    <t>Verify login with valid credentials</t>
  </si>
  <si>
    <t>Login with valid user</t>
  </si>
  <si>
    <t>User is on login page</t>
  </si>
  <si>
    <t>1. Enter username
2. Enter password
3. Click login</t>
  </si>
  <si>
    <t>User is redirected to inventory page</t>
  </si>
  <si>
    <t>High</t>
  </si>
  <si>
    <t>Tariq Sayed</t>
  </si>
  <si>
    <t>TC002</t>
  </si>
  <si>
    <t>Verify login with invalid credentials</t>
  </si>
  <si>
    <t>Username: standard_user Password: secret_sauce</t>
  </si>
  <si>
    <t>Login with invalid username</t>
  </si>
  <si>
    <t>1. Enter incorrect username 
2. Enter password 
3. Click login</t>
  </si>
  <si>
    <t>Verify login with locked-out user</t>
  </si>
  <si>
    <t>Login with locked-out user</t>
  </si>
  <si>
    <t>TC003</t>
  </si>
  <si>
    <t>TC004</t>
  </si>
  <si>
    <t>1. Enter locked out username
2. Enter password
3. Click login</t>
  </si>
  <si>
    <t xml:space="preserve">Username: locked_out_user 
Password: secret_sauce </t>
  </si>
  <si>
    <t>Username: no_real_user
Password: secret_sauce</t>
  </si>
  <si>
    <t>Error message is displayed: "Epic sadface: Username and password to not match any user in this service</t>
  </si>
  <si>
    <t>Error message is displayed: "Epic sadface: Sorry, this user has been locked out</t>
  </si>
  <si>
    <t>Verify error message for empty username</t>
  </si>
  <si>
    <t>Verify error message for empty password</t>
  </si>
  <si>
    <t>TC005</t>
  </si>
  <si>
    <t>Verify login with missing username</t>
  </si>
  <si>
    <t>Verify login with missing password</t>
  </si>
  <si>
    <t>1. Leave username blank
2. Enter password
3. Click login</t>
  </si>
  <si>
    <t>1. Enter username
2. Leave password blank
3. Click login</t>
  </si>
  <si>
    <t>Username:
Password: secret_sauce</t>
  </si>
  <si>
    <t xml:space="preserve">Username: standard_user
Password: </t>
  </si>
  <si>
    <t>Error message is displayed: "Epic sadface: Username is required"</t>
  </si>
  <si>
    <t>Error message is displayed: "Epic sadface: Password is required"</t>
  </si>
  <si>
    <t>Verify product list is displayed correctly</t>
  </si>
  <si>
    <t>TC006</t>
  </si>
  <si>
    <t>Check if products are displayed correctly on product page</t>
  </si>
  <si>
    <t>User is logged in</t>
  </si>
  <si>
    <t>1. Logged in with valid credentials</t>
  </si>
  <si>
    <t>-</t>
  </si>
  <si>
    <t>Products are displayed in a grid format</t>
  </si>
  <si>
    <t xml:space="preserve">Verify sorting persists after page refresh </t>
  </si>
  <si>
    <t>Check if products are sorted in alphabetical order</t>
  </si>
  <si>
    <t>User is on product page</t>
  </si>
  <si>
    <t>Products are displayed in alphabetical order</t>
  </si>
  <si>
    <t>Check if products are sorted in reverse alphabetical order</t>
  </si>
  <si>
    <t>1. Click on sort dropdown
2. Click on "Name (Z to A)"</t>
  </si>
  <si>
    <t>1. Click on sort dropdown
2. Click on "Name (A to Z)"</t>
  </si>
  <si>
    <t>Products are displayed in reverse alphabetical order</t>
  </si>
  <si>
    <t xml:space="preserve">Check if products are sorted by price </t>
  </si>
  <si>
    <t>1. Click on sort dropdown
2. Click on "Price (low to high)</t>
  </si>
  <si>
    <t>1. Click on sort dropdown
2. Click on "Price (High to Low)</t>
  </si>
  <si>
    <t>Verify sorting (A–Z)</t>
  </si>
  <si>
    <t>Verify sorting (Z-A)</t>
  </si>
  <si>
    <t>Verify price sorting (Low to High)</t>
  </si>
  <si>
    <t>Verify price sorting (High to Low)</t>
  </si>
  <si>
    <t>Products are displayed in order from lowest to highest</t>
  </si>
  <si>
    <t>Products are displayed in order from highest to lowest</t>
  </si>
  <si>
    <t>TC007</t>
  </si>
  <si>
    <t>Check if sorting remains after page is refreshed</t>
  </si>
  <si>
    <t>TC008</t>
  </si>
  <si>
    <t>TC009</t>
  </si>
  <si>
    <t>TC010</t>
  </si>
  <si>
    <t>TC011</t>
  </si>
  <si>
    <t>1. Click on sort dropdown
2. Click on any sorting option
3. Refresh the page</t>
  </si>
  <si>
    <t>Products remain sorted based on dropdown value</t>
  </si>
  <si>
    <t>Verify adding a product to cart</t>
  </si>
  <si>
    <t>Verify removing a product from cart</t>
  </si>
  <si>
    <t>3. CART FUNCTIONALITY</t>
  </si>
  <si>
    <t>TC012</t>
  </si>
  <si>
    <t>Verity cart retains items after navigation</t>
  </si>
  <si>
    <t>TC013</t>
  </si>
  <si>
    <t>TC014</t>
  </si>
  <si>
    <t>TC015</t>
  </si>
  <si>
    <t>Add a product to the cart</t>
  </si>
  <si>
    <t>1. Click on the "Add to cart" button of any project</t>
  </si>
  <si>
    <t>Product is added to cart and cart icon count increases</t>
  </si>
  <si>
    <t>Remove a product from the cart</t>
  </si>
  <si>
    <t>Product has been added to the cart</t>
  </si>
  <si>
    <t>1. Click on cart icon
2. Click on "Remove" button</t>
  </si>
  <si>
    <t>Product is removed from card anc icon count decreases</t>
  </si>
  <si>
    <t>Navigate back to product page</t>
  </si>
  <si>
    <t>User is viewing items in the cart</t>
  </si>
  <si>
    <t>1. Click on the menu icon
2. Click on "All Items"</t>
  </si>
  <si>
    <t>User navigates to a different page Items count remains the same</t>
  </si>
  <si>
    <t>4. CHECKOUT PROCESS</t>
  </si>
  <si>
    <t>Verify checkout with valid information</t>
  </si>
  <si>
    <t>Verify error when fields are empty</t>
  </si>
  <si>
    <t>Verify error for invalid input (e.g. missing postcode)</t>
  </si>
  <si>
    <t xml:space="preserve">Verify order completion </t>
  </si>
  <si>
    <t>TC016</t>
  </si>
  <si>
    <t>TC017</t>
  </si>
  <si>
    <t>TC018</t>
  </si>
  <si>
    <t>TC019</t>
  </si>
  <si>
    <t>Complete checkout with valid details</t>
  </si>
  <si>
    <t>User is logged in and has items in cart</t>
  </si>
  <si>
    <t>1. Click cart icon
2. Click "Checkout"
3. Enter First Name
4. Enter Last Name
5. Enter Postcode
6. Click "Continue"
7. Click "Finish"</t>
  </si>
  <si>
    <t>First Name: Tariq
Last Name: Sayed
Postcode: SW1A1AA</t>
  </si>
  <si>
    <t>Order is successfully completed and confirmation message is displayed</t>
  </si>
  <si>
    <t>PASS</t>
  </si>
  <si>
    <t>FAIL</t>
  </si>
  <si>
    <t>Checkout with empty fields</t>
  </si>
  <si>
    <t>Error message is displayed: "First name is required"</t>
  </si>
  <si>
    <t>Postcode field is empty</t>
  </si>
  <si>
    <t>1. Navigate to checkout page
2. Enter First Name
3. Enter Last Name
4. Leave Postal Code empty
5. Click “Continue”</t>
  </si>
  <si>
    <t>1. Click cart icon
2. Click "Checkout".
 3. Navigate to checkout page
4. Leave all fields empty
5. Click "Continue"</t>
  </si>
  <si>
    <t xml:space="preserve">First Name: Tariq
Last Name: Sayed
Postcode: </t>
  </si>
  <si>
    <t>Error message is displayed: "Error: Postal Code is required"</t>
  </si>
  <si>
    <t>Error message is displayed: "Error: First name is required"</t>
  </si>
  <si>
    <t>User has completed checkout steps</t>
  </si>
  <si>
    <t>Check out complete</t>
  </si>
  <si>
    <t>1. Complete checkout process
2. Observe comfirmation page</t>
  </si>
  <si>
    <t>Confirmation message: "Thank you for your order"</t>
  </si>
  <si>
    <t>Sorting selection is reset to default after page refresh instead of being retained</t>
  </si>
  <si>
    <t>Bug logged – Sorting not retained after refresh (BUG-001)</t>
  </si>
  <si>
    <t>Bug ID</t>
  </si>
  <si>
    <t>Title</t>
  </si>
  <si>
    <t>Description</t>
  </si>
  <si>
    <t>Steps to Reproduce</t>
  </si>
  <si>
    <t>Severity</t>
  </si>
  <si>
    <t>BUG-001</t>
  </si>
  <si>
    <t>Sorting resets after refresh</t>
  </si>
  <si>
    <t>Sorting option is not retained after page refresh</t>
  </si>
  <si>
    <t>1. Login
2. Selecting sorting option
3. Refresh page</t>
  </si>
  <si>
    <t>Sorting remains selected</t>
  </si>
  <si>
    <t>Sorting resets to default</t>
  </si>
  <si>
    <t>Medium</t>
  </si>
  <si>
    <t>Open</t>
  </si>
  <si>
    <t>BUG-002</t>
  </si>
  <si>
    <t>TC020</t>
  </si>
  <si>
    <t>Verify product images match items</t>
  </si>
  <si>
    <t>Username: problem_user
password: secret_sauce</t>
  </si>
  <si>
    <t>Correct images for each product</t>
  </si>
  <si>
    <t>Images don’t match products</t>
  </si>
  <si>
    <t>BUG-003</t>
  </si>
  <si>
    <t>Product images mismatch</t>
  </si>
  <si>
    <t xml:space="preserve">Environment: </t>
  </si>
  <si>
    <t>Firefox (Latest), Windows 10</t>
  </si>
  <si>
    <t>Verify Checkout with empty cart</t>
  </si>
  <si>
    <t>User should not be able to proceed to checkout</t>
  </si>
  <si>
    <t>1. Ensure cart is empty
2. Complete checkout process
3. Observe comfirmation page</t>
  </si>
  <si>
    <t>Bug logged – Product images mismatch (BUG-002)</t>
  </si>
  <si>
    <t>Bug logged – Checkout allowed with empty cart(BUG-003)</t>
  </si>
  <si>
    <t>Checkout with empty cart</t>
  </si>
  <si>
    <t xml:space="preserve">User is able to checkout </t>
  </si>
  <si>
    <t>1. Login
2. Ensure cart is empty
3. Complete checkout process</t>
  </si>
  <si>
    <t>Images do not match product names</t>
  </si>
  <si>
    <t>User is able to checkout despite empty fields</t>
  </si>
  <si>
    <t>Metric</t>
  </si>
  <si>
    <t>Total Test Cases</t>
  </si>
  <si>
    <t>Passed</t>
  </si>
  <si>
    <t>Failed</t>
  </si>
  <si>
    <t>Pass %</t>
  </si>
  <si>
    <t>Value</t>
  </si>
  <si>
    <t>2. PRODUCT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</si>
</sst>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2" fillId="3" borderId="0" xfId="0" applyFont="1" applyFill="1" applyBorder="1" applyAlignment="1"/>
    <xf numFmtId="0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/>
    </xf>
    <xf numFmtId="0" fontId="5" fillId="4" borderId="0" xfId="0" applyFont="1" applyFill="1" applyAlignment="1">
      <alignment horizontal="center"/>
    </xf>
    <xf numFmtId="0" fontId="0" fillId="5" borderId="1" xfId="0" applyFill="1" applyBorder="1"/>
    <xf numFmtId="9" fontId="0" fillId="5" borderId="1" xfId="1" applyFont="1" applyFill="1" applyBorder="1"/>
    <xf numFmtId="0" fontId="7" fillId="6" borderId="0" xfId="0" applyFont="1" applyFill="1"/>
    <xf numFmtId="0" fontId="8" fillId="5" borderId="1" xfId="0" applyFont="1" applyFill="1" applyBorder="1"/>
    <xf numFmtId="0" fontId="6" fillId="5" borderId="1" xfId="0" applyFont="1" applyFill="1" applyBorder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6"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1F4E78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9" defaultPivotStyle="PivotStyleLight16"/>
  <colors>
    <mruColors>
      <color rgb="FF1F4E78"/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G3:H7" totalsRowShown="0" headerRowDxfId="3" dataDxfId="2" dataCellStyle="Normal">
  <autoFilter ref="G3:H7"/>
  <tableColumns count="2">
    <tableColumn id="1" name="Metric" dataDxfId="1" dataCellStyle="Normal"/>
    <tableColumn id="2" name="Value" dataDxfId="0" dataCellStyle="Nor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zoomScaleNormal="100" workbookViewId="0">
      <selection activeCell="C8" sqref="C8"/>
    </sheetView>
  </sheetViews>
  <sheetFormatPr defaultRowHeight="15" x14ac:dyDescent="0.25"/>
  <cols>
    <col min="1" max="1" width="13.5703125" customWidth="1"/>
    <col min="2" max="2" width="20" customWidth="1"/>
    <col min="3" max="3" width="25" customWidth="1"/>
    <col min="4" max="4" width="20" customWidth="1"/>
    <col min="5" max="5" width="30" customWidth="1"/>
    <col min="6" max="6" width="26" customWidth="1"/>
    <col min="7" max="8" width="30" customWidth="1"/>
    <col min="9" max="10" width="10" customWidth="1"/>
    <col min="11" max="11" width="20" customWidth="1"/>
  </cols>
  <sheetData>
    <row r="1" spans="1:11" ht="18.75" x14ac:dyDescent="0.3">
      <c r="A1" s="16" t="s">
        <v>0</v>
      </c>
      <c r="B1" s="16"/>
      <c r="C1" s="16"/>
      <c r="D1" s="16"/>
      <c r="E1" s="2"/>
      <c r="F1" s="2"/>
      <c r="G1" s="2"/>
      <c r="H1" s="2"/>
      <c r="I1" s="2"/>
      <c r="J1" s="2"/>
      <c r="K1" s="2"/>
    </row>
    <row r="3" spans="1:11" x14ac:dyDescent="0.25">
      <c r="A3" s="1" t="s">
        <v>1</v>
      </c>
      <c r="B3" t="s">
        <v>2</v>
      </c>
      <c r="G3" s="13" t="s">
        <v>167</v>
      </c>
      <c r="H3" s="13" t="s">
        <v>172</v>
      </c>
    </row>
    <row r="4" spans="1:11" x14ac:dyDescent="0.25">
      <c r="A4" s="1" t="s">
        <v>3</v>
      </c>
      <c r="B4" t="s">
        <v>4</v>
      </c>
      <c r="G4" s="11" t="s">
        <v>168</v>
      </c>
      <c r="H4" s="11">
        <f>COUNTA(I:I)-1</f>
        <v>20</v>
      </c>
    </row>
    <row r="5" spans="1:11" x14ac:dyDescent="0.25">
      <c r="A5" s="1" t="s">
        <v>5</v>
      </c>
      <c r="B5" t="s">
        <v>27</v>
      </c>
      <c r="G5" s="11" t="s">
        <v>169</v>
      </c>
      <c r="H5" s="14">
        <f>COUNTIF(I:I,"PASS")</f>
        <v>17</v>
      </c>
    </row>
    <row r="6" spans="1:11" x14ac:dyDescent="0.25">
      <c r="A6" s="1" t="s">
        <v>6</v>
      </c>
      <c r="B6" s="9">
        <v>46136</v>
      </c>
      <c r="G6" s="11" t="s">
        <v>170</v>
      </c>
      <c r="H6" s="15">
        <f>COUNTIF(I:I,"FAIL")</f>
        <v>3</v>
      </c>
    </row>
    <row r="7" spans="1:11" x14ac:dyDescent="0.25">
      <c r="A7" s="1" t="s">
        <v>7</v>
      </c>
      <c r="B7" s="17">
        <v>1</v>
      </c>
      <c r="G7" s="11" t="s">
        <v>171</v>
      </c>
      <c r="H7" s="12">
        <f>COUNTIF(I:I,"PASS")/COUNTA(I:I)</f>
        <v>0.80952380952380953</v>
      </c>
    </row>
    <row r="8" spans="1:11" ht="30" x14ac:dyDescent="0.25">
      <c r="A8" s="1" t="s">
        <v>155</v>
      </c>
      <c r="B8" s="8" t="s">
        <v>156</v>
      </c>
    </row>
    <row r="10" spans="1:11" x14ac:dyDescent="0.25">
      <c r="A10" s="6" t="s">
        <v>8</v>
      </c>
      <c r="B10" s="6" t="s">
        <v>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6" t="s">
        <v>16</v>
      </c>
      <c r="J10" s="6" t="s">
        <v>17</v>
      </c>
      <c r="K10" s="6" t="s">
        <v>18</v>
      </c>
    </row>
    <row r="11" spans="1:11" x14ac:dyDescent="0.25">
      <c r="A11" s="7" t="s">
        <v>19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45" x14ac:dyDescent="0.25">
      <c r="A12" s="5" t="s">
        <v>20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30</v>
      </c>
      <c r="G12" s="5" t="s">
        <v>25</v>
      </c>
      <c r="H12" s="5" t="s">
        <v>25</v>
      </c>
      <c r="I12" s="4" t="s">
        <v>118</v>
      </c>
      <c r="J12" s="5" t="s">
        <v>26</v>
      </c>
      <c r="K12" s="5"/>
    </row>
    <row r="13" spans="1:11" ht="60" x14ac:dyDescent="0.25">
      <c r="A13" s="4" t="s">
        <v>28</v>
      </c>
      <c r="B13" s="4" t="s">
        <v>29</v>
      </c>
      <c r="C13" s="4" t="s">
        <v>31</v>
      </c>
      <c r="D13" s="4" t="s">
        <v>23</v>
      </c>
      <c r="E13" s="4" t="s">
        <v>32</v>
      </c>
      <c r="F13" s="4" t="s">
        <v>39</v>
      </c>
      <c r="G13" s="4" t="s">
        <v>40</v>
      </c>
      <c r="H13" s="4" t="s">
        <v>40</v>
      </c>
      <c r="I13" s="4" t="s">
        <v>118</v>
      </c>
      <c r="J13" s="5" t="s">
        <v>26</v>
      </c>
      <c r="K13" s="4"/>
    </row>
    <row r="14" spans="1:11" ht="45" x14ac:dyDescent="0.25">
      <c r="A14" s="4" t="s">
        <v>35</v>
      </c>
      <c r="B14" s="4" t="s">
        <v>33</v>
      </c>
      <c r="C14" s="4" t="s">
        <v>34</v>
      </c>
      <c r="D14" s="4" t="s">
        <v>23</v>
      </c>
      <c r="E14" s="4" t="s">
        <v>37</v>
      </c>
      <c r="F14" s="4" t="s">
        <v>38</v>
      </c>
      <c r="G14" s="4" t="s">
        <v>41</v>
      </c>
      <c r="H14" s="4" t="s">
        <v>41</v>
      </c>
      <c r="I14" s="4" t="s">
        <v>118</v>
      </c>
      <c r="J14" s="5" t="s">
        <v>26</v>
      </c>
      <c r="K14" s="4"/>
    </row>
    <row r="15" spans="1:11" ht="45" x14ac:dyDescent="0.25">
      <c r="A15" s="4" t="s">
        <v>36</v>
      </c>
      <c r="B15" s="4" t="s">
        <v>45</v>
      </c>
      <c r="C15" s="4" t="s">
        <v>42</v>
      </c>
      <c r="D15" s="4" t="s">
        <v>23</v>
      </c>
      <c r="E15" s="4" t="s">
        <v>47</v>
      </c>
      <c r="F15" s="4" t="s">
        <v>49</v>
      </c>
      <c r="G15" s="4" t="s">
        <v>51</v>
      </c>
      <c r="H15" s="4" t="s">
        <v>51</v>
      </c>
      <c r="I15" s="4" t="s">
        <v>118</v>
      </c>
      <c r="J15" s="4" t="s">
        <v>145</v>
      </c>
      <c r="K15" s="4"/>
    </row>
    <row r="16" spans="1:11" ht="45" x14ac:dyDescent="0.25">
      <c r="A16" s="4" t="s">
        <v>44</v>
      </c>
      <c r="B16" s="4" t="s">
        <v>46</v>
      </c>
      <c r="C16" s="4" t="s">
        <v>43</v>
      </c>
      <c r="D16" s="4" t="s">
        <v>23</v>
      </c>
      <c r="E16" s="4" t="s">
        <v>48</v>
      </c>
      <c r="F16" s="4" t="s">
        <v>50</v>
      </c>
      <c r="G16" s="4" t="s">
        <v>52</v>
      </c>
      <c r="H16" s="4" t="s">
        <v>52</v>
      </c>
      <c r="I16" s="4" t="s">
        <v>118</v>
      </c>
      <c r="J16" s="4" t="s">
        <v>145</v>
      </c>
      <c r="K16" s="4"/>
    </row>
    <row r="17" spans="1:11" x14ac:dyDescent="0.25">
      <c r="A17" s="7" t="s">
        <v>173</v>
      </c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45" x14ac:dyDescent="0.25">
      <c r="A18" s="5" t="s">
        <v>54</v>
      </c>
      <c r="B18" s="5" t="s">
        <v>53</v>
      </c>
      <c r="C18" s="5" t="s">
        <v>55</v>
      </c>
      <c r="D18" s="5" t="s">
        <v>56</v>
      </c>
      <c r="E18" s="5" t="s">
        <v>57</v>
      </c>
      <c r="F18" s="5" t="s">
        <v>30</v>
      </c>
      <c r="G18" s="5" t="s">
        <v>59</v>
      </c>
      <c r="H18" s="5" t="s">
        <v>59</v>
      </c>
      <c r="I18" s="4" t="s">
        <v>118</v>
      </c>
      <c r="J18" s="5" t="s">
        <v>26</v>
      </c>
      <c r="K18" s="5"/>
    </row>
    <row r="19" spans="1:11" ht="45" x14ac:dyDescent="0.25">
      <c r="A19" s="5" t="s">
        <v>77</v>
      </c>
      <c r="B19" s="5" t="s">
        <v>71</v>
      </c>
      <c r="C19" s="5" t="s">
        <v>61</v>
      </c>
      <c r="D19" s="5" t="s">
        <v>62</v>
      </c>
      <c r="E19" s="5" t="s">
        <v>66</v>
      </c>
      <c r="F19" s="5" t="s">
        <v>58</v>
      </c>
      <c r="G19" s="5" t="s">
        <v>63</v>
      </c>
      <c r="H19" s="5" t="s">
        <v>63</v>
      </c>
      <c r="I19" s="4" t="s">
        <v>118</v>
      </c>
      <c r="J19" s="4" t="s">
        <v>145</v>
      </c>
      <c r="K19" s="5"/>
    </row>
    <row r="20" spans="1:11" ht="45" x14ac:dyDescent="0.25">
      <c r="A20" s="5" t="s">
        <v>79</v>
      </c>
      <c r="B20" s="5" t="s">
        <v>72</v>
      </c>
      <c r="C20" s="5" t="s">
        <v>64</v>
      </c>
      <c r="D20" s="5" t="s">
        <v>62</v>
      </c>
      <c r="E20" s="5" t="s">
        <v>65</v>
      </c>
      <c r="F20" s="5" t="s">
        <v>58</v>
      </c>
      <c r="G20" s="5" t="s">
        <v>67</v>
      </c>
      <c r="H20" s="5" t="s">
        <v>67</v>
      </c>
      <c r="I20" s="4" t="s">
        <v>118</v>
      </c>
      <c r="J20" s="4" t="s">
        <v>145</v>
      </c>
      <c r="K20" s="5"/>
    </row>
    <row r="21" spans="1:11" ht="30" x14ac:dyDescent="0.25">
      <c r="A21" s="5" t="s">
        <v>80</v>
      </c>
      <c r="B21" s="5" t="s">
        <v>73</v>
      </c>
      <c r="C21" s="5" t="s">
        <v>68</v>
      </c>
      <c r="D21" s="5" t="s">
        <v>62</v>
      </c>
      <c r="E21" s="5" t="s">
        <v>69</v>
      </c>
      <c r="F21" s="5" t="s">
        <v>58</v>
      </c>
      <c r="G21" s="5" t="s">
        <v>75</v>
      </c>
      <c r="H21" s="5" t="s">
        <v>75</v>
      </c>
      <c r="I21" s="4" t="s">
        <v>118</v>
      </c>
      <c r="J21" s="5" t="s">
        <v>26</v>
      </c>
      <c r="K21" s="5"/>
    </row>
    <row r="22" spans="1:11" ht="30" x14ac:dyDescent="0.25">
      <c r="A22" s="5" t="s">
        <v>81</v>
      </c>
      <c r="B22" s="5" t="s">
        <v>74</v>
      </c>
      <c r="C22" s="5" t="s">
        <v>68</v>
      </c>
      <c r="D22" s="5" t="s">
        <v>62</v>
      </c>
      <c r="E22" s="5" t="s">
        <v>70</v>
      </c>
      <c r="F22" s="5" t="s">
        <v>58</v>
      </c>
      <c r="G22" s="5" t="s">
        <v>76</v>
      </c>
      <c r="H22" s="5" t="s">
        <v>76</v>
      </c>
      <c r="I22" s="4" t="s">
        <v>118</v>
      </c>
      <c r="J22" s="5" t="s">
        <v>26</v>
      </c>
      <c r="K22" s="5"/>
    </row>
    <row r="23" spans="1:11" ht="45" x14ac:dyDescent="0.25">
      <c r="A23" s="5" t="s">
        <v>82</v>
      </c>
      <c r="B23" s="5" t="s">
        <v>60</v>
      </c>
      <c r="C23" s="5" t="s">
        <v>78</v>
      </c>
      <c r="D23" s="5" t="s">
        <v>62</v>
      </c>
      <c r="E23" s="5" t="s">
        <v>83</v>
      </c>
      <c r="F23" s="5" t="s">
        <v>58</v>
      </c>
      <c r="G23" s="5" t="s">
        <v>84</v>
      </c>
      <c r="H23" s="5" t="s">
        <v>132</v>
      </c>
      <c r="I23" s="4" t="s">
        <v>119</v>
      </c>
      <c r="J23" s="4" t="s">
        <v>145</v>
      </c>
      <c r="K23" s="4" t="s">
        <v>133</v>
      </c>
    </row>
    <row r="24" spans="1:11" ht="45" x14ac:dyDescent="0.25">
      <c r="A24" s="5" t="s">
        <v>88</v>
      </c>
      <c r="B24" s="4" t="s">
        <v>149</v>
      </c>
      <c r="C24" s="5" t="s">
        <v>55</v>
      </c>
      <c r="D24" s="5" t="s">
        <v>56</v>
      </c>
      <c r="E24" s="5" t="s">
        <v>57</v>
      </c>
      <c r="F24" s="5" t="s">
        <v>150</v>
      </c>
      <c r="G24" s="5" t="s">
        <v>151</v>
      </c>
      <c r="H24" s="5" t="s">
        <v>152</v>
      </c>
      <c r="I24" s="4" t="s">
        <v>119</v>
      </c>
      <c r="J24" s="5" t="s">
        <v>26</v>
      </c>
      <c r="K24" s="4" t="s">
        <v>160</v>
      </c>
    </row>
    <row r="25" spans="1:11" x14ac:dyDescent="0.25">
      <c r="A25" s="7" t="s">
        <v>87</v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30" x14ac:dyDescent="0.25">
      <c r="A26" s="4" t="s">
        <v>90</v>
      </c>
      <c r="B26" s="4" t="s">
        <v>85</v>
      </c>
      <c r="C26" s="4" t="s">
        <v>93</v>
      </c>
      <c r="D26" s="4" t="s">
        <v>62</v>
      </c>
      <c r="E26" s="4" t="s">
        <v>94</v>
      </c>
      <c r="F26" s="4" t="s">
        <v>58</v>
      </c>
      <c r="G26" s="4" t="s">
        <v>95</v>
      </c>
      <c r="H26" s="4" t="s">
        <v>95</v>
      </c>
      <c r="I26" s="4" t="s">
        <v>118</v>
      </c>
      <c r="J26" s="5" t="s">
        <v>26</v>
      </c>
      <c r="K26" s="4"/>
    </row>
    <row r="27" spans="1:11" ht="30" x14ac:dyDescent="0.25">
      <c r="A27" s="4" t="s">
        <v>91</v>
      </c>
      <c r="B27" s="4" t="s">
        <v>86</v>
      </c>
      <c r="C27" s="4" t="s">
        <v>96</v>
      </c>
      <c r="D27" s="4" t="s">
        <v>97</v>
      </c>
      <c r="E27" s="4" t="s">
        <v>98</v>
      </c>
      <c r="F27" s="4" t="s">
        <v>58</v>
      </c>
      <c r="G27" s="4" t="s">
        <v>99</v>
      </c>
      <c r="H27" s="4" t="s">
        <v>99</v>
      </c>
      <c r="I27" s="4" t="s">
        <v>118</v>
      </c>
      <c r="J27" s="5" t="s">
        <v>26</v>
      </c>
      <c r="K27" s="4"/>
    </row>
    <row r="28" spans="1:11" ht="45" x14ac:dyDescent="0.25">
      <c r="A28" s="4" t="s">
        <v>92</v>
      </c>
      <c r="B28" s="4" t="s">
        <v>89</v>
      </c>
      <c r="C28" s="4" t="s">
        <v>100</v>
      </c>
      <c r="D28" s="4" t="s">
        <v>101</v>
      </c>
      <c r="E28" s="4" t="s">
        <v>102</v>
      </c>
      <c r="F28" s="4" t="s">
        <v>58</v>
      </c>
      <c r="G28" s="4" t="s">
        <v>103</v>
      </c>
      <c r="H28" s="4" t="s">
        <v>103</v>
      </c>
      <c r="I28" s="4" t="s">
        <v>118</v>
      </c>
      <c r="J28" s="5" t="s">
        <v>26</v>
      </c>
      <c r="K28" s="4"/>
    </row>
    <row r="29" spans="1:11" x14ac:dyDescent="0.25">
      <c r="A29" s="7" t="s">
        <v>104</v>
      </c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05" x14ac:dyDescent="0.25">
      <c r="A30" s="4" t="s">
        <v>109</v>
      </c>
      <c r="B30" s="4" t="s">
        <v>105</v>
      </c>
      <c r="C30" s="4" t="s">
        <v>113</v>
      </c>
      <c r="D30" s="4" t="s">
        <v>114</v>
      </c>
      <c r="E30" s="4" t="s">
        <v>115</v>
      </c>
      <c r="F30" s="4" t="s">
        <v>116</v>
      </c>
      <c r="G30" s="4" t="s">
        <v>117</v>
      </c>
      <c r="H30" s="4" t="s">
        <v>117</v>
      </c>
      <c r="I30" s="4" t="s">
        <v>118</v>
      </c>
      <c r="J30" s="5" t="s">
        <v>26</v>
      </c>
      <c r="K30" s="4"/>
    </row>
    <row r="31" spans="1:11" ht="75" x14ac:dyDescent="0.25">
      <c r="A31" s="4" t="s">
        <v>110</v>
      </c>
      <c r="B31" s="4" t="s">
        <v>106</v>
      </c>
      <c r="C31" s="4" t="s">
        <v>120</v>
      </c>
      <c r="D31" s="4" t="s">
        <v>114</v>
      </c>
      <c r="E31" s="4" t="s">
        <v>124</v>
      </c>
      <c r="F31" s="4" t="s">
        <v>58</v>
      </c>
      <c r="G31" s="4" t="s">
        <v>127</v>
      </c>
      <c r="H31" s="4" t="s">
        <v>121</v>
      </c>
      <c r="I31" s="4" t="s">
        <v>118</v>
      </c>
      <c r="J31" s="5" t="s">
        <v>26</v>
      </c>
      <c r="K31" s="4"/>
    </row>
    <row r="32" spans="1:11" ht="75" x14ac:dyDescent="0.25">
      <c r="A32" s="4" t="s">
        <v>111</v>
      </c>
      <c r="B32" s="4" t="s">
        <v>107</v>
      </c>
      <c r="C32" s="4" t="s">
        <v>122</v>
      </c>
      <c r="D32" s="4" t="s">
        <v>114</v>
      </c>
      <c r="E32" s="4" t="s">
        <v>123</v>
      </c>
      <c r="F32" s="4" t="s">
        <v>125</v>
      </c>
      <c r="G32" s="4" t="s">
        <v>126</v>
      </c>
      <c r="H32" s="4" t="s">
        <v>126</v>
      </c>
      <c r="I32" s="4" t="s">
        <v>118</v>
      </c>
      <c r="J32" s="5" t="s">
        <v>26</v>
      </c>
      <c r="K32" s="4"/>
    </row>
    <row r="33" spans="1:11" ht="45" x14ac:dyDescent="0.25">
      <c r="A33" s="4" t="s">
        <v>112</v>
      </c>
      <c r="B33" s="4" t="s">
        <v>108</v>
      </c>
      <c r="C33" s="4" t="s">
        <v>129</v>
      </c>
      <c r="D33" s="4" t="s">
        <v>128</v>
      </c>
      <c r="E33" s="4" t="s">
        <v>130</v>
      </c>
      <c r="F33" s="4" t="s">
        <v>116</v>
      </c>
      <c r="G33" s="4" t="s">
        <v>131</v>
      </c>
      <c r="H33" s="4" t="s">
        <v>131</v>
      </c>
      <c r="I33" s="4" t="s">
        <v>118</v>
      </c>
      <c r="J33" s="5" t="s">
        <v>145</v>
      </c>
      <c r="K33" s="4"/>
    </row>
    <row r="34" spans="1:11" ht="60" x14ac:dyDescent="0.25">
      <c r="A34" s="4" t="s">
        <v>148</v>
      </c>
      <c r="B34" s="4" t="s">
        <v>157</v>
      </c>
      <c r="C34" s="4" t="s">
        <v>129</v>
      </c>
      <c r="D34" s="4" t="s">
        <v>128</v>
      </c>
      <c r="E34" s="4" t="s">
        <v>159</v>
      </c>
      <c r="F34" s="4" t="s">
        <v>116</v>
      </c>
      <c r="G34" s="4" t="s">
        <v>158</v>
      </c>
      <c r="H34" s="4" t="s">
        <v>131</v>
      </c>
      <c r="I34" s="4" t="s">
        <v>119</v>
      </c>
      <c r="J34" s="5" t="s">
        <v>26</v>
      </c>
      <c r="K34" s="4" t="s">
        <v>161</v>
      </c>
    </row>
    <row r="35" spans="1:1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</sheetData>
  <mergeCells count="1">
    <mergeCell ref="A1:D1"/>
  </mergeCells>
  <conditionalFormatting sqref="I10:I34">
    <cfRule type="cellIs" dxfId="5" priority="1" operator="equal">
      <formula>"FAIL"</formula>
    </cfRule>
    <cfRule type="cellIs" dxfId="4" priority="2" operator="equal">
      <formula>"PASS"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B31" sqref="B31"/>
    </sheetView>
  </sheetViews>
  <sheetFormatPr defaultRowHeight="15" x14ac:dyDescent="0.25"/>
  <cols>
    <col min="1" max="1" width="8.42578125" bestFit="1" customWidth="1"/>
    <col min="2" max="2" width="11.5703125" bestFit="1" customWidth="1"/>
    <col min="3" max="3" width="12.140625" customWidth="1"/>
    <col min="4" max="4" width="18.28515625" customWidth="1"/>
    <col min="5" max="5" width="25.7109375" customWidth="1"/>
    <col min="6" max="6" width="15.28515625" bestFit="1" customWidth="1"/>
    <col min="7" max="7" width="12.5703125" bestFit="1" customWidth="1"/>
    <col min="8" max="8" width="8.28515625" bestFit="1" customWidth="1"/>
    <col min="9" max="9" width="7.5703125" bestFit="1" customWidth="1"/>
    <col min="10" max="10" width="6.42578125" bestFit="1" customWidth="1"/>
  </cols>
  <sheetData>
    <row r="1" spans="1:10" s="3" customFormat="1" x14ac:dyDescent="0.25">
      <c r="A1" s="10" t="s">
        <v>134</v>
      </c>
      <c r="B1" s="10" t="s">
        <v>8</v>
      </c>
      <c r="C1" s="10" t="s">
        <v>135</v>
      </c>
      <c r="D1" s="10" t="s">
        <v>136</v>
      </c>
      <c r="E1" s="10" t="s">
        <v>137</v>
      </c>
      <c r="F1" s="10" t="s">
        <v>14</v>
      </c>
      <c r="G1" s="10" t="s">
        <v>15</v>
      </c>
      <c r="H1" s="10" t="s">
        <v>138</v>
      </c>
      <c r="I1" s="10" t="s">
        <v>17</v>
      </c>
      <c r="J1" s="10" t="s">
        <v>16</v>
      </c>
    </row>
    <row r="2" spans="1:10" ht="45" x14ac:dyDescent="0.25">
      <c r="A2" s="4" t="s">
        <v>139</v>
      </c>
      <c r="B2" s="4" t="s">
        <v>82</v>
      </c>
      <c r="C2" s="4" t="s">
        <v>140</v>
      </c>
      <c r="D2" s="4" t="s">
        <v>141</v>
      </c>
      <c r="E2" s="4" t="s">
        <v>142</v>
      </c>
      <c r="F2" s="4" t="s">
        <v>143</v>
      </c>
      <c r="G2" s="4" t="s">
        <v>144</v>
      </c>
      <c r="H2" s="4" t="s">
        <v>145</v>
      </c>
      <c r="I2" s="4" t="s">
        <v>26</v>
      </c>
      <c r="J2" s="4" t="s">
        <v>146</v>
      </c>
    </row>
    <row r="3" spans="1:10" ht="45" x14ac:dyDescent="0.25">
      <c r="A3" s="4" t="s">
        <v>147</v>
      </c>
      <c r="B3" s="4" t="s">
        <v>88</v>
      </c>
      <c r="C3" s="4" t="s">
        <v>154</v>
      </c>
      <c r="D3" s="4" t="s">
        <v>165</v>
      </c>
      <c r="E3" s="4" t="s">
        <v>142</v>
      </c>
      <c r="F3" s="4" t="s">
        <v>143</v>
      </c>
      <c r="G3" s="4" t="s">
        <v>144</v>
      </c>
      <c r="H3" s="4" t="s">
        <v>145</v>
      </c>
      <c r="I3" s="4" t="s">
        <v>26</v>
      </c>
      <c r="J3" s="4" t="s">
        <v>146</v>
      </c>
    </row>
    <row r="4" spans="1:10" ht="60" x14ac:dyDescent="0.25">
      <c r="A4" s="4" t="s">
        <v>153</v>
      </c>
      <c r="B4" s="4" t="s">
        <v>148</v>
      </c>
      <c r="C4" s="4" t="s">
        <v>162</v>
      </c>
      <c r="D4" s="4" t="s">
        <v>166</v>
      </c>
      <c r="E4" s="4" t="s">
        <v>164</v>
      </c>
      <c r="F4" s="4" t="s">
        <v>163</v>
      </c>
      <c r="G4" s="4" t="s">
        <v>163</v>
      </c>
      <c r="H4" s="4" t="s">
        <v>26</v>
      </c>
      <c r="I4" s="4" t="s">
        <v>26</v>
      </c>
      <c r="J4" s="4" t="s">
        <v>146</v>
      </c>
    </row>
    <row r="5" spans="1:10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2026-04-28T10:55:47Z</dcterms:created>
  <dcterms:modified xsi:type="dcterms:W3CDTF">2026-04-29T13:36:23Z</dcterms:modified>
</cp:coreProperties>
</file>